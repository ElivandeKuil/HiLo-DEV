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_s\Documents\GitHub\Project S V6\Forex\analysis docs\"/>
    </mc:Choice>
  </mc:AlternateContent>
  <xr:revisionPtr revIDLastSave="0" documentId="13_ncr:1_{88C7E243-A751-4FBC-81B4-48F06CD47BC3}" xr6:coauthVersionLast="47" xr6:coauthVersionMax="47" xr10:uidLastSave="{00000000-0000-0000-0000-000000000000}"/>
  <bookViews>
    <workbookView xWindow="12120" yWindow="2988" windowWidth="23364" windowHeight="12108" xr2:uid="{DEB4A310-FF9A-4375-AF38-0D4AFE46D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" i="1" l="1"/>
  <c r="Z37" i="1"/>
  <c r="AC13" i="1"/>
  <c r="AJ13" i="1" s="1"/>
  <c r="AA13" i="1"/>
  <c r="AI13" i="1" s="1"/>
  <c r="AL13" i="1" s="1"/>
  <c r="AN13" i="1" s="1"/>
  <c r="AC12" i="1"/>
  <c r="AJ12" i="1" s="1"/>
  <c r="AA12" i="1"/>
  <c r="AI12" i="1" s="1"/>
  <c r="AL12" i="1" s="1"/>
  <c r="AN12" i="1" s="1"/>
  <c r="AC11" i="1"/>
  <c r="AJ11" i="1" s="1"/>
  <c r="AA11" i="1"/>
  <c r="AI11" i="1" s="1"/>
  <c r="AC10" i="1"/>
  <c r="AJ10" i="1" s="1"/>
  <c r="AA10" i="1"/>
  <c r="AI10" i="1" s="1"/>
  <c r="AC8" i="1"/>
  <c r="AJ8" i="1" s="1"/>
  <c r="AA8" i="1"/>
  <c r="AI8" i="1" s="1"/>
  <c r="AL8" i="1" s="1"/>
  <c r="AN8" i="1" s="1"/>
  <c r="AC7" i="1"/>
  <c r="AJ7" i="1" s="1"/>
  <c r="AA7" i="1"/>
  <c r="AI7" i="1" s="1"/>
  <c r="AC6" i="1"/>
  <c r="AJ6" i="1" s="1"/>
  <c r="AA6" i="1"/>
  <c r="AI6" i="1" s="1"/>
  <c r="AC31" i="1"/>
  <c r="AJ31" i="1" s="1"/>
  <c r="AA31" i="1"/>
  <c r="AI31" i="1" s="1"/>
  <c r="AC30" i="1"/>
  <c r="AJ30" i="1" s="1"/>
  <c r="AA30" i="1"/>
  <c r="AI30" i="1" s="1"/>
  <c r="AC29" i="1"/>
  <c r="AJ29" i="1" s="1"/>
  <c r="AA29" i="1"/>
  <c r="AI29" i="1" s="1"/>
  <c r="AC28" i="1"/>
  <c r="AJ28" i="1" s="1"/>
  <c r="AA28" i="1"/>
  <c r="AI28" i="1" s="1"/>
  <c r="AJ27" i="1"/>
  <c r="AI27" i="1"/>
  <c r="AC27" i="1"/>
  <c r="AA27" i="1"/>
  <c r="AC25" i="1"/>
  <c r="AJ25" i="1" s="1"/>
  <c r="AA25" i="1"/>
  <c r="AI25" i="1" s="1"/>
  <c r="AC24" i="1"/>
  <c r="AJ24" i="1" s="1"/>
  <c r="AA24" i="1"/>
  <c r="AI24" i="1" s="1"/>
  <c r="AL24" i="1" s="1"/>
  <c r="AN24" i="1" s="1"/>
  <c r="Z39" i="1" s="1"/>
  <c r="AC23" i="1"/>
  <c r="AJ23" i="1" s="1"/>
  <c r="AA23" i="1"/>
  <c r="AI23" i="1" s="1"/>
  <c r="AC22" i="1"/>
  <c r="AJ22" i="1" s="1"/>
  <c r="AA22" i="1"/>
  <c r="AI22" i="1" s="1"/>
  <c r="AL22" i="1" s="1"/>
  <c r="AN22" i="1" s="1"/>
  <c r="AC21" i="1"/>
  <c r="AJ21" i="1" s="1"/>
  <c r="AA21" i="1"/>
  <c r="AI21" i="1" s="1"/>
  <c r="AC19" i="1"/>
  <c r="AJ19" i="1" s="1"/>
  <c r="AA19" i="1"/>
  <c r="AI19" i="1" s="1"/>
  <c r="AC18" i="1"/>
  <c r="AJ18" i="1" s="1"/>
  <c r="AA18" i="1"/>
  <c r="AI18" i="1" s="1"/>
  <c r="AC17" i="1"/>
  <c r="AJ17" i="1" s="1"/>
  <c r="AA17" i="1"/>
  <c r="AI17" i="1" s="1"/>
  <c r="AC16" i="1"/>
  <c r="AJ16" i="1" s="1"/>
  <c r="AA16" i="1"/>
  <c r="AI16" i="1" s="1"/>
  <c r="AC4" i="1"/>
  <c r="AJ4" i="1" s="1"/>
  <c r="AA4" i="1"/>
  <c r="AI4" i="1" s="1"/>
  <c r="AC3" i="1"/>
  <c r="AJ3" i="1" s="1"/>
  <c r="AA3" i="1"/>
  <c r="AI3" i="1" s="1"/>
  <c r="AC2" i="1"/>
  <c r="AJ2" i="1" s="1"/>
  <c r="AA2" i="1"/>
  <c r="AI2" i="1" s="1"/>
  <c r="AL2" i="1" s="1"/>
  <c r="AN2" i="1" s="1"/>
  <c r="H21" i="1"/>
  <c r="O21" i="1" s="1"/>
  <c r="F21" i="1"/>
  <c r="N21" i="1" s="1"/>
  <c r="Q21" i="1" s="1"/>
  <c r="S25" i="1" s="1"/>
  <c r="H20" i="1"/>
  <c r="O20" i="1" s="1"/>
  <c r="F20" i="1"/>
  <c r="N20" i="1" s="1"/>
  <c r="H19" i="1"/>
  <c r="O19" i="1" s="1"/>
  <c r="F19" i="1"/>
  <c r="N19" i="1" s="1"/>
  <c r="H18" i="1"/>
  <c r="O18" i="1" s="1"/>
  <c r="F18" i="1"/>
  <c r="N18" i="1" s="1"/>
  <c r="H17" i="1"/>
  <c r="O17" i="1" s="1"/>
  <c r="F17" i="1"/>
  <c r="N17" i="1" s="1"/>
  <c r="Q17" i="1" s="1"/>
  <c r="S21" i="1" s="1"/>
  <c r="F11" i="1"/>
  <c r="N11" i="1" s="1"/>
  <c r="H11" i="1"/>
  <c r="O11" i="1" s="1"/>
  <c r="H15" i="1"/>
  <c r="O15" i="1" s="1"/>
  <c r="F15" i="1"/>
  <c r="N15" i="1" s="1"/>
  <c r="H14" i="1"/>
  <c r="O14" i="1" s="1"/>
  <c r="F14" i="1"/>
  <c r="N14" i="1" s="1"/>
  <c r="H13" i="1"/>
  <c r="O13" i="1" s="1"/>
  <c r="F13" i="1"/>
  <c r="N13" i="1" s="1"/>
  <c r="H12" i="1"/>
  <c r="O12" i="1" s="1"/>
  <c r="F12" i="1"/>
  <c r="N12" i="1" s="1"/>
  <c r="F6" i="1"/>
  <c r="N6" i="1" s="1"/>
  <c r="H6" i="1"/>
  <c r="O6" i="1" s="1"/>
  <c r="F7" i="1"/>
  <c r="N7" i="1" s="1"/>
  <c r="H7" i="1"/>
  <c r="O7" i="1" s="1"/>
  <c r="F8" i="1"/>
  <c r="N8" i="1" s="1"/>
  <c r="H8" i="1"/>
  <c r="O8" i="1" s="1"/>
  <c r="F9" i="1"/>
  <c r="N9" i="1" s="1"/>
  <c r="H9" i="1"/>
  <c r="O9" i="1" s="1"/>
  <c r="F3" i="1"/>
  <c r="N3" i="1" s="1"/>
  <c r="H3" i="1"/>
  <c r="O3" i="1" s="1"/>
  <c r="F4" i="1"/>
  <c r="N4" i="1" s="1"/>
  <c r="H4" i="1"/>
  <c r="O4" i="1" s="1"/>
  <c r="H2" i="1"/>
  <c r="O2" i="1" s="1"/>
  <c r="F2" i="1"/>
  <c r="N2" i="1" s="1"/>
  <c r="AL11" i="1" l="1"/>
  <c r="AN11" i="1" s="1"/>
  <c r="AL16" i="1"/>
  <c r="AN16" i="1" s="1"/>
  <c r="AL10" i="1"/>
  <c r="AN10" i="1" s="1"/>
  <c r="AL17" i="1"/>
  <c r="AN17" i="1" s="1"/>
  <c r="AL23" i="1"/>
  <c r="AN23" i="1" s="1"/>
  <c r="AL6" i="1"/>
  <c r="AN6" i="1" s="1"/>
  <c r="AL4" i="1"/>
  <c r="AN4" i="1" s="1"/>
  <c r="AL27" i="1"/>
  <c r="AN27" i="1" s="1"/>
  <c r="AL7" i="1"/>
  <c r="AN7" i="1" s="1"/>
  <c r="Z36" i="1" s="1"/>
  <c r="Q11" i="1"/>
  <c r="S15" i="1" s="1"/>
  <c r="Q6" i="1"/>
  <c r="AL28" i="1"/>
  <c r="AN28" i="1" s="1"/>
  <c r="AL25" i="1"/>
  <c r="AN25" i="1" s="1"/>
  <c r="AL3" i="1"/>
  <c r="AN3" i="1" s="1"/>
  <c r="AL19" i="1"/>
  <c r="AN19" i="1" s="1"/>
  <c r="AL21" i="1"/>
  <c r="AN21" i="1" s="1"/>
  <c r="AL18" i="1"/>
  <c r="AN18" i="1" s="1"/>
  <c r="AL29" i="1"/>
  <c r="AN29" i="1" s="1"/>
  <c r="AL30" i="1"/>
  <c r="AN30" i="1" s="1"/>
  <c r="AL31" i="1"/>
  <c r="AN31" i="1" s="1"/>
  <c r="Q20" i="1"/>
  <c r="S24" i="1" s="1"/>
  <c r="Q19" i="1"/>
  <c r="S23" i="1" s="1"/>
  <c r="Q18" i="1"/>
  <c r="S22" i="1" s="1"/>
  <c r="Q8" i="1"/>
  <c r="Q4" i="1"/>
  <c r="S4" i="1" s="1"/>
  <c r="Q13" i="1"/>
  <c r="S17" i="1" s="1"/>
  <c r="Q14" i="1"/>
  <c r="S18" i="1" s="1"/>
  <c r="Q12" i="1"/>
  <c r="S16" i="1" s="1"/>
  <c r="Q15" i="1"/>
  <c r="S19" i="1" s="1"/>
  <c r="Q9" i="1"/>
  <c r="S13" i="1" s="1"/>
  <c r="Q7" i="1"/>
  <c r="Q3" i="1"/>
  <c r="S3" i="1" s="1"/>
  <c r="Q2" i="1"/>
  <c r="S2" i="1" s="1"/>
  <c r="S12" i="1" l="1"/>
  <c r="S8" i="1"/>
  <c r="S10" i="1"/>
  <c r="S6" i="1"/>
  <c r="S11" i="1"/>
  <c r="S7" i="1"/>
</calcChain>
</file>

<file path=xl/sharedStrings.xml><?xml version="1.0" encoding="utf-8"?>
<sst xmlns="http://schemas.openxmlformats.org/spreadsheetml/2006/main" count="26" uniqueCount="15">
  <si>
    <t>Spread</t>
  </si>
  <si>
    <t>Stop percentage</t>
  </si>
  <si>
    <t>Profit on TP</t>
  </si>
  <si>
    <t>Loss on SL</t>
  </si>
  <si>
    <t>#trades</t>
  </si>
  <si>
    <t>precision</t>
  </si>
  <si>
    <t>profit</t>
  </si>
  <si>
    <t>loss</t>
  </si>
  <si>
    <t xml:space="preserve">total profit </t>
  </si>
  <si>
    <t>avg profit per trade</t>
  </si>
  <si>
    <t>Inleg</t>
  </si>
  <si>
    <t>AR</t>
  </si>
  <si>
    <t>Prec</t>
  </si>
  <si>
    <t>Result</t>
  </si>
  <si>
    <t>#Intervals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</si>
</sst>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DD90-C32A-41C2-9F03-D699F505B50F}">
  <dimension ref="B1:AN39"/>
  <sheetViews>
    <sheetView tabSelected="1" topLeftCell="T16" workbookViewId="0">
      <selection activeCell="X37" sqref="X37"/>
    </sheetView>
  </sheetViews>
  <sheetFormatPr defaultRowHeight="14.4" x14ac:dyDescent="0.3"/>
  <sheetData>
    <row r="1" spans="2:40" x14ac:dyDescent="0.3">
      <c r="B1" t="s">
        <v>0</v>
      </c>
      <c r="C1" t="s">
        <v>1</v>
      </c>
      <c r="F1" t="s">
        <v>2</v>
      </c>
      <c r="H1" t="s">
        <v>3</v>
      </c>
      <c r="J1" t="s">
        <v>10</v>
      </c>
      <c r="K1" t="s">
        <v>4</v>
      </c>
      <c r="L1" t="s">
        <v>5</v>
      </c>
      <c r="N1" t="s">
        <v>6</v>
      </c>
      <c r="O1" t="s">
        <v>7</v>
      </c>
      <c r="Q1" t="s">
        <v>8</v>
      </c>
      <c r="S1" t="s">
        <v>9</v>
      </c>
      <c r="W1" t="s">
        <v>0</v>
      </c>
      <c r="X1" t="s">
        <v>1</v>
      </c>
      <c r="AA1" t="s">
        <v>2</v>
      </c>
      <c r="AC1" t="s">
        <v>3</v>
      </c>
      <c r="AE1" t="s">
        <v>10</v>
      </c>
      <c r="AF1" t="s">
        <v>4</v>
      </c>
      <c r="AG1" t="s">
        <v>5</v>
      </c>
      <c r="AI1" t="s">
        <v>6</v>
      </c>
      <c r="AJ1" t="s">
        <v>7</v>
      </c>
      <c r="AL1" t="s">
        <v>8</v>
      </c>
      <c r="AN1" t="s">
        <v>9</v>
      </c>
    </row>
    <row r="2" spans="2:40" x14ac:dyDescent="0.3">
      <c r="B2">
        <v>1.2E-4</v>
      </c>
      <c r="C2">
        <v>5.0000000000000001E-4</v>
      </c>
      <c r="F2">
        <f>C2-B2</f>
        <v>3.8000000000000002E-4</v>
      </c>
      <c r="H2">
        <f>C2+B2</f>
        <v>6.2E-4</v>
      </c>
      <c r="J2">
        <v>1000</v>
      </c>
      <c r="K2">
        <v>100</v>
      </c>
      <c r="L2">
        <v>0.6</v>
      </c>
      <c r="N2">
        <f>K2*J2 *(L2*F2)</f>
        <v>22.8</v>
      </c>
      <c r="O2">
        <f>(K2*J2* (1-L2) *H2)</f>
        <v>24.8</v>
      </c>
      <c r="Q2">
        <f>N2-O2</f>
        <v>-2</v>
      </c>
      <c r="S2">
        <f>Q2/K2</f>
        <v>-0.02</v>
      </c>
      <c r="W2">
        <v>1.2999999999999999E-4</v>
      </c>
      <c r="X2">
        <v>5.0000000000000001E-4</v>
      </c>
      <c r="AA2">
        <f>X2-W2</f>
        <v>3.6999999999999999E-4</v>
      </c>
      <c r="AC2">
        <f>X2+W2</f>
        <v>6.3000000000000003E-4</v>
      </c>
      <c r="AE2">
        <v>1000</v>
      </c>
      <c r="AF2">
        <v>100</v>
      </c>
      <c r="AG2">
        <v>0.6</v>
      </c>
      <c r="AI2">
        <f>AF2*AE2 *(AG2*AA2)</f>
        <v>22.199999999999996</v>
      </c>
      <c r="AJ2">
        <f>(AF2*AE2* (1-AG2) *AC2)</f>
        <v>25.2</v>
      </c>
      <c r="AL2">
        <f>AI2-AJ2</f>
        <v>-3.0000000000000036</v>
      </c>
      <c r="AN2">
        <f>AL2/AF2</f>
        <v>-3.0000000000000037E-2</v>
      </c>
    </row>
    <row r="3" spans="2:40" x14ac:dyDescent="0.3">
      <c r="B3">
        <v>1.2E-4</v>
      </c>
      <c r="C3">
        <v>5.9999999999999995E-4</v>
      </c>
      <c r="F3">
        <f t="shared" ref="F3:F4" si="0">C3-B3</f>
        <v>4.7999999999999996E-4</v>
      </c>
      <c r="H3">
        <f t="shared" ref="H3:H4" si="1">C3+B3</f>
        <v>7.1999999999999994E-4</v>
      </c>
      <c r="J3">
        <v>1000</v>
      </c>
      <c r="K3">
        <v>100</v>
      </c>
      <c r="L3">
        <v>0.6</v>
      </c>
      <c r="N3">
        <f t="shared" ref="N3:N4" si="2">K3*J3 *(L3*F3)</f>
        <v>28.799999999999994</v>
      </c>
      <c r="O3">
        <f t="shared" ref="O3:O4" si="3">(K3*J3* (1-L3) *H3)</f>
        <v>28.799999999999997</v>
      </c>
      <c r="Q3">
        <f t="shared" ref="Q3:Q4" si="4">N3-O3</f>
        <v>0</v>
      </c>
      <c r="S3">
        <f t="shared" ref="S3:S4" si="5">Q3/K3</f>
        <v>0</v>
      </c>
      <c r="W3">
        <v>1.2999999999999999E-4</v>
      </c>
      <c r="X3">
        <v>5.9999999999999995E-4</v>
      </c>
      <c r="AA3">
        <f t="shared" ref="AA3:AA4" si="6">X3-W3</f>
        <v>4.6999999999999993E-4</v>
      </c>
      <c r="AC3">
        <f t="shared" ref="AC3:AC4" si="7">X3+W3</f>
        <v>7.2999999999999996E-4</v>
      </c>
      <c r="AE3">
        <v>1000</v>
      </c>
      <c r="AF3">
        <v>100</v>
      </c>
      <c r="AG3">
        <v>0.6</v>
      </c>
      <c r="AI3">
        <f t="shared" ref="AI3:AI4" si="8">AF3*AE3 *(AG3*AA3)</f>
        <v>28.199999999999996</v>
      </c>
      <c r="AJ3">
        <f t="shared" ref="AJ3:AJ4" si="9">(AF3*AE3* (1-AG3) *AC3)</f>
        <v>29.2</v>
      </c>
      <c r="AL3">
        <f t="shared" ref="AL3:AL4" si="10">AI3-AJ3</f>
        <v>-1.0000000000000036</v>
      </c>
      <c r="AN3">
        <f t="shared" ref="AN3:AN4" si="11">AL3/AF3</f>
        <v>-1.0000000000000035E-2</v>
      </c>
    </row>
    <row r="4" spans="2:40" x14ac:dyDescent="0.3">
      <c r="B4">
        <v>1.2E-4</v>
      </c>
      <c r="C4">
        <v>6.9999999999999999E-4</v>
      </c>
      <c r="F4">
        <f t="shared" si="0"/>
        <v>5.8E-4</v>
      </c>
      <c r="H4">
        <f t="shared" si="1"/>
        <v>8.1999999999999998E-4</v>
      </c>
      <c r="J4">
        <v>1000</v>
      </c>
      <c r="K4">
        <v>100</v>
      </c>
      <c r="L4">
        <v>0.6</v>
      </c>
      <c r="N4">
        <f t="shared" si="2"/>
        <v>34.799999999999997</v>
      </c>
      <c r="O4">
        <f t="shared" si="3"/>
        <v>32.799999999999997</v>
      </c>
      <c r="Q4">
        <f t="shared" si="4"/>
        <v>2</v>
      </c>
      <c r="S4">
        <f t="shared" si="5"/>
        <v>0.02</v>
      </c>
      <c r="W4">
        <v>1.2999999999999999E-4</v>
      </c>
      <c r="X4">
        <v>6.9999999999999999E-4</v>
      </c>
      <c r="AA4">
        <f t="shared" si="6"/>
        <v>5.6999999999999998E-4</v>
      </c>
      <c r="AC4">
        <f t="shared" si="7"/>
        <v>8.3000000000000001E-4</v>
      </c>
      <c r="AE4">
        <v>1000</v>
      </c>
      <c r="AF4">
        <v>100</v>
      </c>
      <c r="AG4">
        <v>0.6</v>
      </c>
      <c r="AI4">
        <f t="shared" si="8"/>
        <v>34.199999999999996</v>
      </c>
      <c r="AJ4">
        <f t="shared" si="9"/>
        <v>33.200000000000003</v>
      </c>
      <c r="AL4">
        <f t="shared" si="10"/>
        <v>0.99999999999999289</v>
      </c>
      <c r="AN4">
        <f t="shared" si="11"/>
        <v>9.9999999999999291E-3</v>
      </c>
    </row>
    <row r="6" spans="2:40" x14ac:dyDescent="0.3">
      <c r="B6">
        <v>1.2E-4</v>
      </c>
      <c r="C6">
        <v>4.0000000000000002E-4</v>
      </c>
      <c r="F6">
        <f t="shared" ref="F6" si="12">C6-B6</f>
        <v>2.8000000000000003E-4</v>
      </c>
      <c r="H6">
        <f t="shared" ref="H6" si="13">C6+B6</f>
        <v>5.2000000000000006E-4</v>
      </c>
      <c r="J6">
        <v>1000</v>
      </c>
      <c r="K6">
        <v>100</v>
      </c>
      <c r="L6">
        <v>0.65</v>
      </c>
      <c r="N6">
        <f t="shared" ref="N6" si="14">K6*J6 *(L6*F6)</f>
        <v>18.200000000000003</v>
      </c>
      <c r="O6">
        <f t="shared" ref="O6" si="15">(K6*J6* (1-L6) *H6)</f>
        <v>18.200000000000003</v>
      </c>
      <c r="Q6">
        <f t="shared" ref="Q6" si="16">N6-O6</f>
        <v>0</v>
      </c>
      <c r="S6">
        <f>Q6/K6</f>
        <v>0</v>
      </c>
      <c r="W6">
        <v>1.2999999999999999E-4</v>
      </c>
      <c r="X6">
        <v>5.0000000000000001E-4</v>
      </c>
      <c r="AA6">
        <f>X6-W6</f>
        <v>3.6999999999999999E-4</v>
      </c>
      <c r="AC6">
        <f>X6+W6</f>
        <v>6.3000000000000003E-4</v>
      </c>
      <c r="AE6">
        <v>1000</v>
      </c>
      <c r="AF6">
        <v>100</v>
      </c>
      <c r="AG6">
        <v>0.61</v>
      </c>
      <c r="AI6">
        <f>AF6*AE6 *(AG6*AA6)</f>
        <v>22.569999999999997</v>
      </c>
      <c r="AJ6">
        <f>(AF6*AE6* (1-AG6) *AC6)</f>
        <v>24.57</v>
      </c>
      <c r="AL6">
        <f>AI6-AJ6</f>
        <v>-2.0000000000000036</v>
      </c>
      <c r="AN6">
        <f>AL6/AF6</f>
        <v>-2.0000000000000035E-2</v>
      </c>
    </row>
    <row r="7" spans="2:40" x14ac:dyDescent="0.3">
      <c r="B7">
        <v>1.2E-4</v>
      </c>
      <c r="C7">
        <v>5.0000000000000001E-4</v>
      </c>
      <c r="F7">
        <f t="shared" ref="F7:F9" si="17">C7-B7</f>
        <v>3.8000000000000002E-4</v>
      </c>
      <c r="H7">
        <f t="shared" ref="H7:H9" si="18">C7+B7</f>
        <v>6.2E-4</v>
      </c>
      <c r="J7">
        <v>1000</v>
      </c>
      <c r="K7">
        <v>100</v>
      </c>
      <c r="L7">
        <v>0.65</v>
      </c>
      <c r="N7">
        <f t="shared" ref="N7:N9" si="19">K7*J7 *(L7*F7)</f>
        <v>24.700000000000003</v>
      </c>
      <c r="O7">
        <f t="shared" ref="O7:O9" si="20">(K7*J7* (1-L7) *H7)</f>
        <v>21.7</v>
      </c>
      <c r="Q7">
        <f t="shared" ref="Q7:Q9" si="21">N7-O7</f>
        <v>3.0000000000000036</v>
      </c>
      <c r="S7">
        <f t="shared" ref="S7:S8" si="22">Q7/K7</f>
        <v>3.0000000000000037E-2</v>
      </c>
      <c r="W7">
        <v>1.2999999999999999E-4</v>
      </c>
      <c r="X7">
        <v>5.9999999999999995E-4</v>
      </c>
      <c r="AA7">
        <f t="shared" ref="AA7:AA8" si="23">X7-W7</f>
        <v>4.6999999999999993E-4</v>
      </c>
      <c r="AC7">
        <f t="shared" ref="AC7:AC8" si="24">X7+W7</f>
        <v>7.2999999999999996E-4</v>
      </c>
      <c r="AE7">
        <v>1000</v>
      </c>
      <c r="AF7">
        <v>100</v>
      </c>
      <c r="AG7">
        <v>0.61</v>
      </c>
      <c r="AI7">
        <f t="shared" ref="AI7:AI8" si="25">AF7*AE7 *(AG7*AA7)</f>
        <v>28.669999999999998</v>
      </c>
      <c r="AJ7">
        <f t="shared" ref="AJ7:AJ8" si="26">(AF7*AE7* (1-AG7) *AC7)</f>
        <v>28.47</v>
      </c>
      <c r="AL7">
        <f t="shared" ref="AL7:AL8" si="27">AI7-AJ7</f>
        <v>0.19999999999999929</v>
      </c>
      <c r="AN7">
        <f t="shared" ref="AN7:AN8" si="28">AL7/AF7</f>
        <v>1.9999999999999931E-3</v>
      </c>
    </row>
    <row r="8" spans="2:40" x14ac:dyDescent="0.3">
      <c r="B8">
        <v>1.2E-4</v>
      </c>
      <c r="C8">
        <v>5.9999999999999995E-4</v>
      </c>
      <c r="F8">
        <f t="shared" si="17"/>
        <v>4.7999999999999996E-4</v>
      </c>
      <c r="H8">
        <f t="shared" si="18"/>
        <v>7.1999999999999994E-4</v>
      </c>
      <c r="J8">
        <v>1000</v>
      </c>
      <c r="K8">
        <v>100</v>
      </c>
      <c r="L8">
        <v>0.65</v>
      </c>
      <c r="N8">
        <f t="shared" si="19"/>
        <v>31.2</v>
      </c>
      <c r="O8">
        <f t="shared" si="20"/>
        <v>25.2</v>
      </c>
      <c r="Q8">
        <f t="shared" si="21"/>
        <v>6</v>
      </c>
      <c r="S8">
        <f t="shared" si="22"/>
        <v>0.06</v>
      </c>
      <c r="W8">
        <v>1.2999999999999999E-4</v>
      </c>
      <c r="X8">
        <v>6.9999999999999999E-4</v>
      </c>
      <c r="AA8">
        <f t="shared" si="23"/>
        <v>5.6999999999999998E-4</v>
      </c>
      <c r="AC8">
        <f t="shared" si="24"/>
        <v>8.3000000000000001E-4</v>
      </c>
      <c r="AE8">
        <v>1000</v>
      </c>
      <c r="AF8">
        <v>100</v>
      </c>
      <c r="AG8">
        <v>0.61</v>
      </c>
      <c r="AI8">
        <f t="shared" si="25"/>
        <v>34.769999999999996</v>
      </c>
      <c r="AJ8">
        <f t="shared" si="26"/>
        <v>32.369999999999997</v>
      </c>
      <c r="AL8">
        <f t="shared" si="27"/>
        <v>2.3999999999999986</v>
      </c>
      <c r="AN8">
        <f t="shared" si="28"/>
        <v>2.3999999999999987E-2</v>
      </c>
    </row>
    <row r="9" spans="2:40" x14ac:dyDescent="0.3">
      <c r="B9">
        <v>1.2E-4</v>
      </c>
      <c r="C9">
        <v>6.9999999999999999E-4</v>
      </c>
      <c r="F9">
        <f t="shared" si="17"/>
        <v>5.8E-4</v>
      </c>
      <c r="H9">
        <f t="shared" si="18"/>
        <v>8.1999999999999998E-4</v>
      </c>
      <c r="J9">
        <v>1000</v>
      </c>
      <c r="K9">
        <v>100</v>
      </c>
      <c r="L9">
        <v>0.65</v>
      </c>
      <c r="N9">
        <f t="shared" si="19"/>
        <v>37.700000000000003</v>
      </c>
      <c r="O9">
        <f t="shared" si="20"/>
        <v>28.7</v>
      </c>
      <c r="Q9">
        <f t="shared" si="21"/>
        <v>9.0000000000000036</v>
      </c>
    </row>
    <row r="10" spans="2:40" x14ac:dyDescent="0.3">
      <c r="S10">
        <f>Q6/K6</f>
        <v>0</v>
      </c>
      <c r="W10">
        <v>1.2999999999999999E-4</v>
      </c>
      <c r="X10">
        <v>4.0000000000000002E-4</v>
      </c>
      <c r="AA10">
        <f t="shared" ref="AA10:AA13" si="29">X10-W10</f>
        <v>2.7000000000000006E-4</v>
      </c>
      <c r="AC10">
        <f t="shared" ref="AC10:AC13" si="30">X10+W10</f>
        <v>5.2999999999999998E-4</v>
      </c>
      <c r="AE10">
        <v>1000</v>
      </c>
      <c r="AF10">
        <v>100</v>
      </c>
      <c r="AG10">
        <v>0.63</v>
      </c>
      <c r="AI10">
        <f t="shared" ref="AI10:AI13" si="31">AF10*AE10 *(AG10*AA10)</f>
        <v>17.010000000000005</v>
      </c>
      <c r="AJ10">
        <f t="shared" ref="AJ10:AJ13" si="32">(AF10*AE10* (1-AG10) *AC10)</f>
        <v>19.61</v>
      </c>
      <c r="AL10">
        <f t="shared" ref="AL10:AL13" si="33">AI10-AJ10</f>
        <v>-2.5999999999999943</v>
      </c>
      <c r="AN10">
        <f t="shared" ref="AN10:AN13" si="34">AL10/AF10</f>
        <v>-2.5999999999999943E-2</v>
      </c>
    </row>
    <row r="11" spans="2:40" x14ac:dyDescent="0.3">
      <c r="B11">
        <v>1.2E-4</v>
      </c>
      <c r="C11">
        <v>2.9999999999999997E-4</v>
      </c>
      <c r="F11">
        <f t="shared" ref="F11" si="35">C11-B11</f>
        <v>1.7999999999999998E-4</v>
      </c>
      <c r="H11">
        <f t="shared" ref="H11" si="36">C11+B11</f>
        <v>4.1999999999999996E-4</v>
      </c>
      <c r="J11">
        <v>1000</v>
      </c>
      <c r="K11">
        <v>100</v>
      </c>
      <c r="L11">
        <v>0.68</v>
      </c>
      <c r="N11">
        <f t="shared" ref="N11" si="37">K11*J11 *(L11*F11)</f>
        <v>12.24</v>
      </c>
      <c r="O11">
        <f t="shared" ref="O11" si="38">(K11*J11* (1-L11) *H11)</f>
        <v>13.439999999999998</v>
      </c>
      <c r="Q11">
        <f t="shared" ref="Q11" si="39">N11-O11</f>
        <v>-1.1999999999999975</v>
      </c>
      <c r="S11">
        <f>Q7/K7</f>
        <v>3.0000000000000037E-2</v>
      </c>
      <c r="W11">
        <v>1.2999999999999999E-4</v>
      </c>
      <c r="X11">
        <v>5.0000000000000001E-4</v>
      </c>
      <c r="AA11">
        <f t="shared" si="29"/>
        <v>3.6999999999999999E-4</v>
      </c>
      <c r="AC11">
        <f t="shared" si="30"/>
        <v>6.3000000000000003E-4</v>
      </c>
      <c r="AE11">
        <v>1000</v>
      </c>
      <c r="AF11">
        <v>100</v>
      </c>
      <c r="AG11">
        <v>0.63</v>
      </c>
      <c r="AI11">
        <f t="shared" si="31"/>
        <v>23.31</v>
      </c>
      <c r="AJ11">
        <f t="shared" si="32"/>
        <v>23.310000000000002</v>
      </c>
      <c r="AL11">
        <f t="shared" si="33"/>
        <v>0</v>
      </c>
      <c r="AN11">
        <f t="shared" si="34"/>
        <v>0</v>
      </c>
    </row>
    <row r="12" spans="2:40" x14ac:dyDescent="0.3">
      <c r="B12">
        <v>1.2E-4</v>
      </c>
      <c r="C12">
        <v>4.0000000000000002E-4</v>
      </c>
      <c r="F12">
        <f t="shared" ref="F12:F15" si="40">C12-B12</f>
        <v>2.8000000000000003E-4</v>
      </c>
      <c r="H12">
        <f t="shared" ref="H12:H15" si="41">C12+B12</f>
        <v>5.2000000000000006E-4</v>
      </c>
      <c r="J12">
        <v>1000</v>
      </c>
      <c r="K12">
        <v>100</v>
      </c>
      <c r="L12">
        <v>0.68</v>
      </c>
      <c r="N12">
        <f t="shared" ref="N12:N15" si="42">K12*J12 *(L12*F12)</f>
        <v>19.040000000000006</v>
      </c>
      <c r="O12">
        <f t="shared" ref="O12:O15" si="43">(K12*J12* (1-L12) *H12)</f>
        <v>16.64</v>
      </c>
      <c r="Q12">
        <f t="shared" ref="Q12:Q15" si="44">N12-O12</f>
        <v>2.4000000000000057</v>
      </c>
      <c r="S12">
        <f>Q8/K8</f>
        <v>0.06</v>
      </c>
      <c r="W12">
        <v>1.2999999999999999E-4</v>
      </c>
      <c r="X12">
        <v>5.9999999999999995E-4</v>
      </c>
      <c r="AA12">
        <f t="shared" si="29"/>
        <v>4.6999999999999993E-4</v>
      </c>
      <c r="AC12">
        <f t="shared" si="30"/>
        <v>7.2999999999999996E-4</v>
      </c>
      <c r="AE12">
        <v>1000</v>
      </c>
      <c r="AF12">
        <v>100</v>
      </c>
      <c r="AG12">
        <v>0.63</v>
      </c>
      <c r="AI12">
        <f t="shared" si="31"/>
        <v>29.609999999999992</v>
      </c>
      <c r="AJ12">
        <f t="shared" si="32"/>
        <v>27.009999999999998</v>
      </c>
      <c r="AL12">
        <f t="shared" si="33"/>
        <v>2.5999999999999943</v>
      </c>
      <c r="AN12">
        <f t="shared" si="34"/>
        <v>2.5999999999999943E-2</v>
      </c>
    </row>
    <row r="13" spans="2:40" x14ac:dyDescent="0.3">
      <c r="B13">
        <v>1.2E-4</v>
      </c>
      <c r="C13">
        <v>5.0000000000000001E-4</v>
      </c>
      <c r="F13">
        <f t="shared" si="40"/>
        <v>3.8000000000000002E-4</v>
      </c>
      <c r="H13">
        <f t="shared" si="41"/>
        <v>6.2E-4</v>
      </c>
      <c r="J13">
        <v>1000</v>
      </c>
      <c r="K13">
        <v>100</v>
      </c>
      <c r="L13">
        <v>0.68</v>
      </c>
      <c r="N13">
        <f t="shared" si="42"/>
        <v>25.840000000000003</v>
      </c>
      <c r="O13">
        <f t="shared" si="43"/>
        <v>19.839999999999996</v>
      </c>
      <c r="Q13">
        <f t="shared" si="44"/>
        <v>6.0000000000000071</v>
      </c>
      <c r="S13">
        <f>Q9/K9</f>
        <v>9.0000000000000038E-2</v>
      </c>
      <c r="W13">
        <v>1.2999999999999999E-4</v>
      </c>
      <c r="X13">
        <v>6.9999999999999999E-4</v>
      </c>
      <c r="AA13">
        <f t="shared" si="29"/>
        <v>5.6999999999999998E-4</v>
      </c>
      <c r="AC13">
        <f t="shared" si="30"/>
        <v>8.3000000000000001E-4</v>
      </c>
      <c r="AE13">
        <v>1000</v>
      </c>
      <c r="AF13">
        <v>100</v>
      </c>
      <c r="AG13">
        <v>0.63</v>
      </c>
      <c r="AI13">
        <f t="shared" si="31"/>
        <v>35.909999999999997</v>
      </c>
      <c r="AJ13">
        <f t="shared" si="32"/>
        <v>30.71</v>
      </c>
      <c r="AL13">
        <f t="shared" si="33"/>
        <v>5.1999999999999957</v>
      </c>
      <c r="AN13">
        <f t="shared" si="34"/>
        <v>5.1999999999999956E-2</v>
      </c>
    </row>
    <row r="14" spans="2:40" x14ac:dyDescent="0.3">
      <c r="B14">
        <v>1.2E-4</v>
      </c>
      <c r="C14">
        <v>5.9999999999999995E-4</v>
      </c>
      <c r="F14">
        <f t="shared" si="40"/>
        <v>4.7999999999999996E-4</v>
      </c>
      <c r="H14">
        <f t="shared" si="41"/>
        <v>7.1999999999999994E-4</v>
      </c>
      <c r="J14">
        <v>1000</v>
      </c>
      <c r="K14">
        <v>100</v>
      </c>
      <c r="L14">
        <v>0.68</v>
      </c>
      <c r="N14">
        <f t="shared" si="42"/>
        <v>32.64</v>
      </c>
      <c r="O14">
        <f t="shared" si="43"/>
        <v>23.039999999999996</v>
      </c>
      <c r="Q14">
        <f t="shared" si="44"/>
        <v>9.600000000000005</v>
      </c>
    </row>
    <row r="15" spans="2:40" x14ac:dyDescent="0.3">
      <c r="B15">
        <v>1.2E-4</v>
      </c>
      <c r="C15">
        <v>6.9999999999999999E-4</v>
      </c>
      <c r="F15">
        <f t="shared" si="40"/>
        <v>5.8E-4</v>
      </c>
      <c r="H15">
        <f t="shared" si="41"/>
        <v>8.1999999999999998E-4</v>
      </c>
      <c r="J15">
        <v>1000</v>
      </c>
      <c r="K15">
        <v>100</v>
      </c>
      <c r="L15">
        <v>0.68</v>
      </c>
      <c r="N15">
        <f t="shared" si="42"/>
        <v>39.440000000000005</v>
      </c>
      <c r="O15">
        <f t="shared" si="43"/>
        <v>26.239999999999995</v>
      </c>
      <c r="Q15">
        <f t="shared" si="44"/>
        <v>13.20000000000001</v>
      </c>
      <c r="S15">
        <f>Q11/K11</f>
        <v>-1.1999999999999976E-2</v>
      </c>
    </row>
    <row r="16" spans="2:40" x14ac:dyDescent="0.3">
      <c r="S16">
        <f>Q12/K12</f>
        <v>2.4000000000000056E-2</v>
      </c>
      <c r="W16">
        <v>1.2999999999999999E-4</v>
      </c>
      <c r="X16">
        <v>4.0000000000000002E-4</v>
      </c>
      <c r="AA16">
        <f t="shared" ref="AA16:AA19" si="45">X16-W16</f>
        <v>2.7000000000000006E-4</v>
      </c>
      <c r="AC16">
        <f t="shared" ref="AC16:AC19" si="46">X16+W16</f>
        <v>5.2999999999999998E-4</v>
      </c>
      <c r="AE16">
        <v>1000</v>
      </c>
      <c r="AF16">
        <v>100</v>
      </c>
      <c r="AG16">
        <v>0.65</v>
      </c>
      <c r="AI16">
        <f t="shared" ref="AI16:AI19" si="47">AF16*AE16 *(AG16*AA16)</f>
        <v>17.550000000000004</v>
      </c>
      <c r="AJ16">
        <f t="shared" ref="AJ16:AJ19" si="48">(AF16*AE16* (1-AG16) *AC16)</f>
        <v>18.55</v>
      </c>
      <c r="AL16">
        <f t="shared" ref="AL16:AL19" si="49">AI16-AJ16</f>
        <v>-0.99999999999999645</v>
      </c>
      <c r="AN16">
        <f t="shared" ref="AN16:AN19" si="50">AL16/AF16</f>
        <v>-9.9999999999999638E-3</v>
      </c>
    </row>
    <row r="17" spans="2:40" x14ac:dyDescent="0.3">
      <c r="B17">
        <v>1.2E-4</v>
      </c>
      <c r="C17">
        <v>2.9999999999999997E-4</v>
      </c>
      <c r="F17">
        <f t="shared" ref="F17:F21" si="51">C17-B17</f>
        <v>1.7999999999999998E-4</v>
      </c>
      <c r="H17">
        <f t="shared" ref="H17:H21" si="52">C17+B17</f>
        <v>4.1999999999999996E-4</v>
      </c>
      <c r="J17">
        <v>1000</v>
      </c>
      <c r="K17">
        <v>100</v>
      </c>
      <c r="L17">
        <v>0.7</v>
      </c>
      <c r="N17">
        <f t="shared" ref="N17:N21" si="53">K17*J17 *(L17*F17)</f>
        <v>12.599999999999998</v>
      </c>
      <c r="O17">
        <f t="shared" ref="O17:O21" si="54">(K17*J17* (1-L17) *H17)</f>
        <v>12.6</v>
      </c>
      <c r="Q17">
        <f t="shared" ref="Q17:Q21" si="55">N17-O17</f>
        <v>0</v>
      </c>
      <c r="S17">
        <f>Q13/K13</f>
        <v>6.0000000000000074E-2</v>
      </c>
      <c r="W17">
        <v>1.2999999999999999E-4</v>
      </c>
      <c r="X17">
        <v>5.0000000000000001E-4</v>
      </c>
      <c r="AA17">
        <f t="shared" si="45"/>
        <v>3.6999999999999999E-4</v>
      </c>
      <c r="AC17">
        <f t="shared" si="46"/>
        <v>6.3000000000000003E-4</v>
      </c>
      <c r="AE17">
        <v>1000</v>
      </c>
      <c r="AF17">
        <v>100</v>
      </c>
      <c r="AG17">
        <v>0.65</v>
      </c>
      <c r="AI17">
        <f t="shared" si="47"/>
        <v>24.05</v>
      </c>
      <c r="AJ17">
        <f t="shared" si="48"/>
        <v>22.05</v>
      </c>
      <c r="AL17">
        <f t="shared" si="49"/>
        <v>2</v>
      </c>
      <c r="AN17">
        <f t="shared" si="50"/>
        <v>0.02</v>
      </c>
    </row>
    <row r="18" spans="2:40" x14ac:dyDescent="0.3">
      <c r="B18">
        <v>1.2E-4</v>
      </c>
      <c r="C18">
        <v>4.0000000000000002E-4</v>
      </c>
      <c r="F18">
        <f t="shared" si="51"/>
        <v>2.8000000000000003E-4</v>
      </c>
      <c r="H18">
        <f t="shared" si="52"/>
        <v>5.2000000000000006E-4</v>
      </c>
      <c r="J18">
        <v>1000</v>
      </c>
      <c r="K18">
        <v>100</v>
      </c>
      <c r="L18">
        <v>0.7</v>
      </c>
      <c r="N18">
        <f t="shared" si="53"/>
        <v>19.600000000000001</v>
      </c>
      <c r="O18">
        <f t="shared" si="54"/>
        <v>15.600000000000003</v>
      </c>
      <c r="Q18">
        <f t="shared" si="55"/>
        <v>3.9999999999999982</v>
      </c>
      <c r="S18">
        <f>Q14/K14</f>
        <v>9.6000000000000044E-2</v>
      </c>
      <c r="W18">
        <v>1.2999999999999999E-4</v>
      </c>
      <c r="X18">
        <v>5.9999999999999995E-4</v>
      </c>
      <c r="AA18">
        <f t="shared" si="45"/>
        <v>4.6999999999999993E-4</v>
      </c>
      <c r="AC18">
        <f t="shared" si="46"/>
        <v>7.2999999999999996E-4</v>
      </c>
      <c r="AE18">
        <v>1000</v>
      </c>
      <c r="AF18">
        <v>100</v>
      </c>
      <c r="AG18">
        <v>0.65</v>
      </c>
      <c r="AI18">
        <f t="shared" si="47"/>
        <v>30.549999999999994</v>
      </c>
      <c r="AJ18">
        <f t="shared" si="48"/>
        <v>25.549999999999997</v>
      </c>
      <c r="AL18">
        <f t="shared" si="49"/>
        <v>4.9999999999999964</v>
      </c>
      <c r="AN18">
        <f t="shared" si="50"/>
        <v>4.9999999999999961E-2</v>
      </c>
    </row>
    <row r="19" spans="2:40" x14ac:dyDescent="0.3">
      <c r="B19">
        <v>1.2E-4</v>
      </c>
      <c r="C19">
        <v>5.0000000000000001E-4</v>
      </c>
      <c r="F19">
        <f t="shared" si="51"/>
        <v>3.8000000000000002E-4</v>
      </c>
      <c r="H19">
        <f t="shared" si="52"/>
        <v>6.2E-4</v>
      </c>
      <c r="J19">
        <v>1000</v>
      </c>
      <c r="K19">
        <v>100</v>
      </c>
      <c r="L19">
        <v>0.7</v>
      </c>
      <c r="N19">
        <f t="shared" si="53"/>
        <v>26.6</v>
      </c>
      <c r="O19">
        <f t="shared" si="54"/>
        <v>18.600000000000001</v>
      </c>
      <c r="Q19">
        <f t="shared" si="55"/>
        <v>8</v>
      </c>
      <c r="S19">
        <f>Q15/K15</f>
        <v>0.13200000000000009</v>
      </c>
      <c r="W19">
        <v>1.2999999999999999E-4</v>
      </c>
      <c r="X19">
        <v>6.9999999999999999E-4</v>
      </c>
      <c r="AA19">
        <f t="shared" si="45"/>
        <v>5.6999999999999998E-4</v>
      </c>
      <c r="AC19">
        <f t="shared" si="46"/>
        <v>8.3000000000000001E-4</v>
      </c>
      <c r="AE19">
        <v>1000</v>
      </c>
      <c r="AF19">
        <v>100</v>
      </c>
      <c r="AG19">
        <v>0.65</v>
      </c>
      <c r="AI19">
        <f t="shared" si="47"/>
        <v>37.049999999999997</v>
      </c>
      <c r="AJ19">
        <f t="shared" si="48"/>
        <v>29.05</v>
      </c>
      <c r="AL19">
        <f t="shared" si="49"/>
        <v>7.9999999999999964</v>
      </c>
      <c r="AN19">
        <f t="shared" si="50"/>
        <v>7.999999999999996E-2</v>
      </c>
    </row>
    <row r="20" spans="2:40" x14ac:dyDescent="0.3">
      <c r="B20">
        <v>1.2E-4</v>
      </c>
      <c r="C20">
        <v>5.9999999999999995E-4</v>
      </c>
      <c r="F20">
        <f t="shared" si="51"/>
        <v>4.7999999999999996E-4</v>
      </c>
      <c r="H20">
        <f t="shared" si="52"/>
        <v>7.1999999999999994E-4</v>
      </c>
      <c r="J20">
        <v>1000</v>
      </c>
      <c r="K20">
        <v>100</v>
      </c>
      <c r="L20">
        <v>0.7</v>
      </c>
      <c r="N20">
        <f t="shared" si="53"/>
        <v>33.599999999999994</v>
      </c>
      <c r="O20">
        <f t="shared" si="54"/>
        <v>21.6</v>
      </c>
      <c r="Q20">
        <f t="shared" si="55"/>
        <v>11.999999999999993</v>
      </c>
    </row>
    <row r="21" spans="2:40" x14ac:dyDescent="0.3">
      <c r="B21">
        <v>1.2E-4</v>
      </c>
      <c r="C21">
        <v>6.9999999999999999E-4</v>
      </c>
      <c r="F21">
        <f t="shared" si="51"/>
        <v>5.8E-4</v>
      </c>
      <c r="H21">
        <f t="shared" si="52"/>
        <v>8.1999999999999998E-4</v>
      </c>
      <c r="J21">
        <v>1000</v>
      </c>
      <c r="K21">
        <v>100</v>
      </c>
      <c r="L21">
        <v>0.7</v>
      </c>
      <c r="N21">
        <f t="shared" si="53"/>
        <v>40.6</v>
      </c>
      <c r="O21">
        <f t="shared" si="54"/>
        <v>24.6</v>
      </c>
      <c r="Q21">
        <f t="shared" si="55"/>
        <v>16</v>
      </c>
      <c r="S21">
        <f t="shared" ref="S21:S25" si="56">Q17/K17</f>
        <v>0</v>
      </c>
      <c r="W21">
        <v>1.2999999999999999E-4</v>
      </c>
      <c r="X21">
        <v>2.9999999999999997E-4</v>
      </c>
      <c r="AA21">
        <f t="shared" ref="AA21:AA25" si="57">X21-W21</f>
        <v>1.6999999999999999E-4</v>
      </c>
      <c r="AC21">
        <f t="shared" ref="AC21:AC25" si="58">X21+W21</f>
        <v>4.2999999999999994E-4</v>
      </c>
      <c r="AE21">
        <v>1000</v>
      </c>
      <c r="AF21">
        <v>100</v>
      </c>
      <c r="AG21">
        <v>0.68</v>
      </c>
      <c r="AI21">
        <f t="shared" ref="AI21:AI25" si="59">AF21*AE21 *(AG21*AA21)</f>
        <v>11.56</v>
      </c>
      <c r="AJ21">
        <f t="shared" ref="AJ21:AJ25" si="60">(AF21*AE21* (1-AG21) *AC21)</f>
        <v>13.759999999999996</v>
      </c>
      <c r="AL21">
        <f t="shared" ref="AL21:AL25" si="61">AI21-AJ21</f>
        <v>-2.1999999999999957</v>
      </c>
      <c r="AN21">
        <f t="shared" ref="AN21:AN25" si="62">AL21/AF21</f>
        <v>-2.1999999999999957E-2</v>
      </c>
    </row>
    <row r="22" spans="2:40" x14ac:dyDescent="0.3">
      <c r="S22">
        <f t="shared" si="56"/>
        <v>3.999999999999998E-2</v>
      </c>
      <c r="W22">
        <v>1.2999999999999999E-4</v>
      </c>
      <c r="X22">
        <v>4.0000000000000002E-4</v>
      </c>
      <c r="AA22">
        <f t="shared" si="57"/>
        <v>2.7000000000000006E-4</v>
      </c>
      <c r="AC22">
        <f t="shared" si="58"/>
        <v>5.2999999999999998E-4</v>
      </c>
      <c r="AE22">
        <v>1000</v>
      </c>
      <c r="AF22">
        <v>100</v>
      </c>
      <c r="AG22">
        <v>0.68</v>
      </c>
      <c r="AI22">
        <f t="shared" si="59"/>
        <v>18.360000000000003</v>
      </c>
      <c r="AJ22">
        <f t="shared" si="60"/>
        <v>16.959999999999997</v>
      </c>
      <c r="AL22">
        <f t="shared" si="61"/>
        <v>1.4000000000000057</v>
      </c>
      <c r="AN22">
        <f t="shared" si="62"/>
        <v>1.4000000000000058E-2</v>
      </c>
    </row>
    <row r="23" spans="2:40" x14ac:dyDescent="0.3">
      <c r="S23">
        <f t="shared" si="56"/>
        <v>0.08</v>
      </c>
      <c r="W23">
        <v>1.2999999999999999E-4</v>
      </c>
      <c r="X23">
        <v>5.0000000000000001E-4</v>
      </c>
      <c r="AA23">
        <f t="shared" si="57"/>
        <v>3.6999999999999999E-4</v>
      </c>
      <c r="AC23">
        <f t="shared" si="58"/>
        <v>6.3000000000000003E-4</v>
      </c>
      <c r="AE23">
        <v>1000</v>
      </c>
      <c r="AF23">
        <v>100</v>
      </c>
      <c r="AG23">
        <v>0.68</v>
      </c>
      <c r="AI23">
        <f t="shared" si="59"/>
        <v>25.16</v>
      </c>
      <c r="AJ23">
        <f t="shared" si="60"/>
        <v>20.16</v>
      </c>
      <c r="AL23">
        <f t="shared" si="61"/>
        <v>5</v>
      </c>
      <c r="AN23">
        <f t="shared" si="62"/>
        <v>0.05</v>
      </c>
    </row>
    <row r="24" spans="2:40" x14ac:dyDescent="0.3">
      <c r="S24">
        <f t="shared" si="56"/>
        <v>0.11999999999999993</v>
      </c>
      <c r="W24">
        <v>1.2999999999999999E-4</v>
      </c>
      <c r="X24">
        <v>5.9999999999999995E-4</v>
      </c>
      <c r="AA24">
        <f t="shared" si="57"/>
        <v>4.6999999999999993E-4</v>
      </c>
      <c r="AC24">
        <f t="shared" si="58"/>
        <v>7.2999999999999996E-4</v>
      </c>
      <c r="AE24">
        <v>1000</v>
      </c>
      <c r="AF24">
        <v>100</v>
      </c>
      <c r="AG24">
        <v>0.68</v>
      </c>
      <c r="AI24">
        <f t="shared" si="59"/>
        <v>31.959999999999997</v>
      </c>
      <c r="AJ24">
        <f t="shared" si="60"/>
        <v>23.359999999999996</v>
      </c>
      <c r="AL24">
        <f t="shared" si="61"/>
        <v>8.6000000000000014</v>
      </c>
      <c r="AN24">
        <f t="shared" si="62"/>
        <v>8.6000000000000021E-2</v>
      </c>
    </row>
    <row r="25" spans="2:40" x14ac:dyDescent="0.3">
      <c r="S25">
        <f t="shared" si="56"/>
        <v>0.16</v>
      </c>
      <c r="W25">
        <v>1.2999999999999999E-4</v>
      </c>
      <c r="X25">
        <v>6.9999999999999999E-4</v>
      </c>
      <c r="AA25">
        <f t="shared" si="57"/>
        <v>5.6999999999999998E-4</v>
      </c>
      <c r="AC25">
        <f t="shared" si="58"/>
        <v>8.3000000000000001E-4</v>
      </c>
      <c r="AE25">
        <v>1000</v>
      </c>
      <c r="AF25">
        <v>100</v>
      </c>
      <c r="AG25">
        <v>0.68</v>
      </c>
      <c r="AI25">
        <f t="shared" si="59"/>
        <v>38.76</v>
      </c>
      <c r="AJ25">
        <f t="shared" si="60"/>
        <v>26.56</v>
      </c>
      <c r="AL25">
        <f t="shared" si="61"/>
        <v>12.2</v>
      </c>
      <c r="AN25">
        <f t="shared" si="62"/>
        <v>0.122</v>
      </c>
    </row>
    <row r="27" spans="2:40" x14ac:dyDescent="0.3">
      <c r="W27">
        <v>1.2999999999999999E-4</v>
      </c>
      <c r="X27">
        <v>2.9999999999999997E-4</v>
      </c>
      <c r="AA27">
        <f t="shared" ref="AA27:AA31" si="63">X27-W27</f>
        <v>1.6999999999999999E-4</v>
      </c>
      <c r="AC27">
        <f t="shared" ref="AC27:AC31" si="64">X27+W27</f>
        <v>4.2999999999999994E-4</v>
      </c>
      <c r="AE27">
        <v>1000</v>
      </c>
      <c r="AF27">
        <v>100</v>
      </c>
      <c r="AG27">
        <v>0.7</v>
      </c>
      <c r="AI27">
        <f t="shared" ref="AI27:AI31" si="65">AF27*AE27 *(AG27*AA27)</f>
        <v>11.899999999999999</v>
      </c>
      <c r="AJ27">
        <f t="shared" ref="AJ27:AJ31" si="66">(AF27*AE27* (1-AG27) *AC27)</f>
        <v>12.9</v>
      </c>
      <c r="AL27">
        <f t="shared" ref="AL27:AL31" si="67">AI27-AJ27</f>
        <v>-1.0000000000000018</v>
      </c>
      <c r="AN27">
        <f t="shared" ref="AN27:AN31" si="68">AL27/AF27</f>
        <v>-1.0000000000000018E-2</v>
      </c>
    </row>
    <row r="28" spans="2:40" x14ac:dyDescent="0.3">
      <c r="W28">
        <v>1.2999999999999999E-4</v>
      </c>
      <c r="X28">
        <v>4.0000000000000002E-4</v>
      </c>
      <c r="AA28">
        <f t="shared" si="63"/>
        <v>2.7000000000000006E-4</v>
      </c>
      <c r="AC28">
        <f t="shared" si="64"/>
        <v>5.2999999999999998E-4</v>
      </c>
      <c r="AE28">
        <v>1000</v>
      </c>
      <c r="AF28">
        <v>100</v>
      </c>
      <c r="AG28">
        <v>0.7</v>
      </c>
      <c r="AI28">
        <f t="shared" si="65"/>
        <v>18.900000000000006</v>
      </c>
      <c r="AJ28">
        <f t="shared" si="66"/>
        <v>15.900000000000002</v>
      </c>
      <c r="AL28">
        <f t="shared" si="67"/>
        <v>3.0000000000000036</v>
      </c>
      <c r="AN28">
        <f t="shared" si="68"/>
        <v>3.0000000000000037E-2</v>
      </c>
    </row>
    <row r="29" spans="2:40" x14ac:dyDescent="0.3">
      <c r="W29">
        <v>1.2999999999999999E-4</v>
      </c>
      <c r="X29">
        <v>5.0000000000000001E-4</v>
      </c>
      <c r="AA29">
        <f t="shared" si="63"/>
        <v>3.6999999999999999E-4</v>
      </c>
      <c r="AC29">
        <f t="shared" si="64"/>
        <v>6.3000000000000003E-4</v>
      </c>
      <c r="AE29">
        <v>1000</v>
      </c>
      <c r="AF29">
        <v>100</v>
      </c>
      <c r="AG29">
        <v>0.7</v>
      </c>
      <c r="AI29">
        <f t="shared" si="65"/>
        <v>25.899999999999995</v>
      </c>
      <c r="AJ29">
        <f t="shared" si="66"/>
        <v>18.900000000000002</v>
      </c>
      <c r="AL29">
        <f t="shared" si="67"/>
        <v>6.9999999999999929</v>
      </c>
      <c r="AN29">
        <f t="shared" si="68"/>
        <v>6.9999999999999923E-2</v>
      </c>
    </row>
    <row r="30" spans="2:40" x14ac:dyDescent="0.3">
      <c r="W30">
        <v>1.2999999999999999E-4</v>
      </c>
      <c r="X30">
        <v>5.9999999999999995E-4</v>
      </c>
      <c r="AA30">
        <f t="shared" si="63"/>
        <v>4.6999999999999993E-4</v>
      </c>
      <c r="AC30">
        <f t="shared" si="64"/>
        <v>7.2999999999999996E-4</v>
      </c>
      <c r="AE30">
        <v>1000</v>
      </c>
      <c r="AF30">
        <v>100</v>
      </c>
      <c r="AG30">
        <v>0.7</v>
      </c>
      <c r="AI30">
        <f t="shared" si="65"/>
        <v>32.899999999999991</v>
      </c>
      <c r="AJ30">
        <f t="shared" si="66"/>
        <v>21.900000000000002</v>
      </c>
      <c r="AL30">
        <f t="shared" si="67"/>
        <v>10.999999999999989</v>
      </c>
      <c r="AN30">
        <f t="shared" si="68"/>
        <v>0.10999999999999989</v>
      </c>
    </row>
    <row r="31" spans="2:40" x14ac:dyDescent="0.3">
      <c r="W31">
        <v>1.2999999999999999E-4</v>
      </c>
      <c r="X31">
        <v>6.9999999999999999E-4</v>
      </c>
      <c r="AA31">
        <f t="shared" si="63"/>
        <v>5.6999999999999998E-4</v>
      </c>
      <c r="AC31">
        <f t="shared" si="64"/>
        <v>8.3000000000000001E-4</v>
      </c>
      <c r="AE31">
        <v>1000</v>
      </c>
      <c r="AF31">
        <v>100</v>
      </c>
      <c r="AG31">
        <v>0.7</v>
      </c>
      <c r="AI31">
        <f t="shared" si="65"/>
        <v>39.899999999999991</v>
      </c>
      <c r="AJ31">
        <f t="shared" si="66"/>
        <v>24.900000000000002</v>
      </c>
      <c r="AL31">
        <f t="shared" si="67"/>
        <v>14.999999999999989</v>
      </c>
      <c r="AN31">
        <f t="shared" si="68"/>
        <v>0.14999999999999988</v>
      </c>
    </row>
    <row r="35" spans="23:26" x14ac:dyDescent="0.3">
      <c r="W35" t="s">
        <v>14</v>
      </c>
      <c r="X35" t="s">
        <v>11</v>
      </c>
      <c r="Y35" t="s">
        <v>12</v>
      </c>
      <c r="Z35" t="s">
        <v>13</v>
      </c>
    </row>
    <row r="36" spans="23:26" x14ac:dyDescent="0.3">
      <c r="W36">
        <v>1000</v>
      </c>
      <c r="X36">
        <v>0.02</v>
      </c>
      <c r="Y36">
        <v>61</v>
      </c>
      <c r="Z36">
        <f>W36*X36*AN7</f>
        <v>3.9999999999999862E-2</v>
      </c>
    </row>
    <row r="37" spans="23:26" x14ac:dyDescent="0.3">
      <c r="W37">
        <v>1000</v>
      </c>
      <c r="X37">
        <v>0.04</v>
      </c>
      <c r="Y37">
        <v>63</v>
      </c>
      <c r="Z37">
        <f>W37*X37*AN12</f>
        <v>1.0399999999999978</v>
      </c>
    </row>
    <row r="38" spans="23:26" x14ac:dyDescent="0.3">
      <c r="W38">
        <v>1000</v>
      </c>
      <c r="X38">
        <v>0.02</v>
      </c>
      <c r="Y38">
        <v>65</v>
      </c>
      <c r="Z38">
        <f>W38*X38*AN18</f>
        <v>0.99999999999999922</v>
      </c>
    </row>
    <row r="39" spans="23:26" x14ac:dyDescent="0.3">
      <c r="W39">
        <v>1000</v>
      </c>
      <c r="X39">
        <v>5.0000000000000001E-3</v>
      </c>
      <c r="Y39">
        <v>68</v>
      </c>
      <c r="Z39">
        <f>W39*X39*AN24</f>
        <v>0.4300000000000001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stolwijk</dc:creator>
  <cp:lastModifiedBy>eli stolwijk</cp:lastModifiedBy>
  <dcterms:created xsi:type="dcterms:W3CDTF">2023-07-12T07:52:30Z</dcterms:created>
  <dcterms:modified xsi:type="dcterms:W3CDTF">2023-07-15T08:32:28Z</dcterms:modified>
</cp:coreProperties>
</file>